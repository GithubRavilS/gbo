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Нет вашей цены" sheetId="1" state="visible" r:id="rId1"/>
    <sheet name="Уже есть в инвойсе" sheetId="2" state="visible" r:id="rId2"/>
  </sheets>
  <definedNames>
    <definedName name="_xlnm._FilterDatabase" localSheetId="0" hidden="1">'Нет вашей цены'!$A$4:$F$17</definedName>
    <definedName name="_xlnm.Print_Titles" localSheetId="0">'Нет вашей цены'!$1:$4</definedName>
    <definedName name="_xlnm.Print_Titles" localSheetId="1">'Уже есть в инвойсе'!$1:$4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# ##0.00"/>
  </numFmts>
  <fonts count="6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color rgb="00595959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vertical="center" wrapText="1"/>
    </xf>
    <xf numFmtId="165" fontId="4" fillId="0" borderId="1" applyAlignment="1" pivotButton="0" quotePrefix="0" xfId="0">
      <alignment horizontal="right" vertical="center"/>
    </xf>
    <xf numFmtId="0" fontId="5" fillId="0" borderId="0" pivotButton="0" quotePrefix="0" xfId="0"/>
    <xf numFmtId="164" fontId="5" fillId="0" borderId="0" pivotButton="0" quotePrefix="0" xfId="0"/>
    <xf numFmtId="165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  <col width="22" customWidth="1" min="4" max="4"/>
    <col width="24" customWidth="1" min="5" max="5"/>
    <col width="42" customWidth="1" min="6" max="6"/>
  </cols>
  <sheetData>
    <row r="1">
      <c r="A1" s="1" t="inlineStr">
        <is>
          <t>Позиции, по которым у нас нет вашей цены</t>
        </is>
      </c>
    </row>
    <row r="2" ht="48" customHeight="1">
      <c r="A2" s="2" t="inlineStr">
        <is>
          <t>Это не анкета и заполнять её не нужно. Удобнее прислать ваш полный прайс или типовой инвойс: нетто в евро, наличие, срок. Мы сами сопоставим. Полкой Digitronic ниже указана розница в России, это не ваша цена.</t>
        </is>
      </c>
    </row>
    <row r="4">
      <c r="A4" s="3" t="inlineStr">
        <is>
          <t>Группа</t>
        </is>
      </c>
      <c r="B4" s="3" t="inlineStr">
        <is>
          <t>Название</t>
        </is>
      </c>
      <c r="C4" s="3" t="inlineStr">
        <is>
          <t>Артикул</t>
        </is>
      </c>
      <c r="D4" s="3" t="inlineStr">
        <is>
          <t>Полка Digitronic, ₽</t>
        </is>
      </c>
      <c r="E4" s="3" t="inlineStr">
        <is>
          <t>Наличие у Digitronic</t>
        </is>
      </c>
      <c r="F4" s="3" t="inlineStr">
        <is>
          <t>Зачем смотрим</t>
        </is>
      </c>
    </row>
    <row r="5">
      <c r="A5" s="4" t="inlineStr">
        <is>
          <t>Электроника</t>
        </is>
      </c>
      <c r="B5" s="4" t="inlineStr">
        <is>
          <t>MP32 PT-MAP, 4 цилиндра</t>
        </is>
      </c>
      <c r="C5" s="4" t="inlineStr">
        <is>
          <t>616000573</t>
        </is>
      </c>
      <c r="D5" s="5" t="n">
        <v>13200</v>
      </c>
      <c r="E5" s="4" t="inlineStr">
        <is>
          <t>много</t>
        </is>
      </c>
      <c r="F5" s="4" t="inlineStr">
        <is>
          <t>Ходовой комплект 4 цил.</t>
        </is>
      </c>
    </row>
    <row r="6">
      <c r="A6" s="4" t="inlineStr">
        <is>
          <t>Электроника</t>
        </is>
      </c>
      <c r="B6" s="4" t="inlineStr">
        <is>
          <t>MP48, 4 цилиндра</t>
        </is>
      </c>
      <c r="C6" s="4" t="inlineStr">
        <is>
          <t>616000087</t>
        </is>
      </c>
      <c r="D6" s="5" t="n">
        <v>15600</v>
      </c>
      <c r="E6" s="4" t="inlineStr">
        <is>
          <t>много</t>
        </is>
      </c>
      <c r="F6" s="4" t="inlineStr">
        <is>
          <t>Ходовой комплект 4 цил.</t>
        </is>
      </c>
    </row>
    <row r="7">
      <c r="A7" s="4" t="inlineStr">
        <is>
          <t>Электроника</t>
        </is>
      </c>
      <c r="B7" s="4" t="inlineStr">
        <is>
          <t>MP48 OBD, 4 цилиндра</t>
        </is>
      </c>
      <c r="C7" s="4" t="inlineStr">
        <is>
          <t>616000089</t>
        </is>
      </c>
      <c r="D7" s="5" t="n">
        <v>18200</v>
      </c>
      <c r="E7" s="4" t="inlineStr">
        <is>
          <t>много</t>
        </is>
      </c>
      <c r="F7" s="4" t="inlineStr">
        <is>
          <t>Дороже обычного MP48, в наличии</t>
        </is>
      </c>
    </row>
    <row r="8">
      <c r="A8" s="4" t="inlineStr">
        <is>
          <t>Электроника</t>
        </is>
      </c>
      <c r="B8" s="4" t="inlineStr">
        <is>
          <t>Maxi-2 TITAN, 4 цилиндра</t>
        </is>
      </c>
      <c r="C8" s="4" t="inlineStr">
        <is>
          <t>WEG-AMD024409999-000</t>
        </is>
      </c>
      <c r="D8" s="5" t="n">
        <v>13300</v>
      </c>
      <c r="E8" s="4" t="inlineStr">
        <is>
          <t>нет</t>
        </is>
      </c>
      <c r="F8" s="4" t="inlineStr">
        <is>
          <t>На российской полке нет в наличии</t>
        </is>
      </c>
    </row>
    <row r="9">
      <c r="A9" s="4" t="inlineStr">
        <is>
          <t>Электроника</t>
        </is>
      </c>
      <c r="B9" s="4" t="inlineStr">
        <is>
          <t>iQ, 4 цилиндра</t>
        </is>
      </c>
      <c r="C9" s="4" t="inlineStr">
        <is>
          <t>WEG-AMD028409999-300</t>
        </is>
      </c>
      <c r="D9" s="5" t="n">
        <v>23500</v>
      </c>
      <c r="E9" s="4" t="inlineStr">
        <is>
          <t>нет</t>
        </is>
      </c>
      <c r="F9" s="4" t="inlineStr">
        <is>
          <t>На российской полке нет в наличии</t>
        </is>
      </c>
    </row>
    <row r="10">
      <c r="A10" s="4" t="inlineStr">
        <is>
          <t>Электроника</t>
        </is>
      </c>
      <c r="B10" s="4" t="inlineStr">
        <is>
          <t>iQ 3D-6 цилиндров</t>
        </is>
      </c>
      <c r="C10" s="4" t="inlineStr">
        <is>
          <t>WEG-AMD030609999-300</t>
        </is>
      </c>
      <c r="D10" s="5" t="n">
        <v>23300</v>
      </c>
      <c r="E10" s="4" t="inlineStr">
        <is>
          <t>нет</t>
        </is>
      </c>
      <c r="F10" s="4" t="inlineStr">
        <is>
          <t>На российской полке нет в наличии</t>
        </is>
      </c>
    </row>
    <row r="11">
      <c r="A11" s="4" t="inlineStr">
        <is>
          <t>Электроника</t>
        </is>
      </c>
      <c r="B11" s="4" t="inlineStr">
        <is>
          <t>iQ 3D-8 цилиндров</t>
        </is>
      </c>
      <c r="C11" s="4" t="inlineStr">
        <is>
          <t>WEG-AMD030809999-300</t>
        </is>
      </c>
      <c r="D11" s="5" t="n">
        <v>28000</v>
      </c>
      <c r="E11" s="4" t="inlineStr">
        <is>
          <t>нет</t>
        </is>
      </c>
      <c r="F11" s="4" t="inlineStr">
        <is>
          <t>На российской полке нет в наличии</t>
        </is>
      </c>
    </row>
    <row r="12">
      <c r="A12" s="4" t="inlineStr">
        <is>
          <t>Мультиклапан</t>
        </is>
      </c>
      <c r="B12" s="4" t="inlineStr">
        <is>
          <t>AT02 Sprint A 315-30°</t>
        </is>
      </c>
      <c r="C12" s="4" t="inlineStr">
        <is>
          <t>MVDG0205.1</t>
        </is>
      </c>
      <c r="D12" s="5" t="n">
        <v>5550</v>
      </c>
      <c r="E12" s="4" t="inlineStr">
        <is>
          <t>много</t>
        </is>
      </c>
      <c r="F12" s="4" t="inlineStr">
        <is>
          <t>Класс A</t>
        </is>
      </c>
    </row>
    <row r="13">
      <c r="A13" s="4" t="inlineStr">
        <is>
          <t>Мультиклапан</t>
        </is>
      </c>
      <c r="B13" s="4" t="inlineStr">
        <is>
          <t>Sprint + ВЗУ A 220/225-30°</t>
        </is>
      </c>
      <c r="C13" s="4" t="inlineStr">
        <is>
          <t>MVDG0012</t>
        </is>
      </c>
      <c r="D13" s="5" t="n">
        <v>4150</v>
      </c>
      <c r="E13" s="4" t="inlineStr">
        <is>
          <t>много</t>
        </is>
      </c>
      <c r="F13" s="4" t="inlineStr">
        <is>
          <t>С заправочным устройством</t>
        </is>
      </c>
    </row>
    <row r="14">
      <c r="A14" s="4" t="inlineStr">
        <is>
          <t>Рейка</t>
        </is>
      </c>
      <c r="B14" s="4" t="inlineStr">
        <is>
          <t>AEB полимер, 4 цил., 1,9 Ом</t>
        </is>
      </c>
      <c r="C14" s="4" t="inlineStr">
        <is>
          <t>620500170</t>
        </is>
      </c>
      <c r="D14" s="5" t="n">
        <v>8000</v>
      </c>
      <c r="E14" s="4" t="inlineStr">
        <is>
          <t>много</t>
        </is>
      </c>
      <c r="F14" s="4" t="inlineStr">
        <is>
          <t>Форсуночная рейка</t>
        </is>
      </c>
    </row>
    <row r="15">
      <c r="A15" s="4" t="inlineStr">
        <is>
          <t>Рейка</t>
        </is>
      </c>
      <c r="B15" s="4" t="inlineStr">
        <is>
          <t>Тип 33, 4 цил., 2 Ом BFC</t>
        </is>
      </c>
      <c r="C15" s="4" t="inlineStr">
        <is>
          <t>33.EVG.13</t>
        </is>
      </c>
      <c r="D15" s="5" t="n">
        <v>5550</v>
      </c>
      <c r="E15" s="4" t="inlineStr">
        <is>
          <t>много</t>
        </is>
      </c>
      <c r="F15" s="4" t="inlineStr">
        <is>
          <t>Форсуночная рейка</t>
        </is>
      </c>
    </row>
    <row r="16">
      <c r="A16" s="4" t="inlineStr">
        <is>
          <t>Трубка</t>
        </is>
      </c>
      <c r="B16" s="4" t="inlineStr">
        <is>
          <t>Трубка 6×1 мм, бухта 48 м</t>
        </is>
      </c>
      <c r="C16" s="4" t="inlineStr">
        <is>
          <t>TP6-48</t>
        </is>
      </c>
      <c r="D16" s="5" t="n">
        <v>11300</v>
      </c>
      <c r="E16" s="4" t="inlineStr">
        <is>
          <t>много</t>
        </is>
      </c>
      <c r="F16" s="4" t="inlineStr">
        <is>
          <t>Термопластик</t>
        </is>
      </c>
    </row>
    <row r="17">
      <c r="A17" s="4" t="inlineStr">
        <is>
          <t>Трубка</t>
        </is>
      </c>
      <c r="B17" s="4" t="inlineStr">
        <is>
          <t>Трубка 8×1 мм, бухта 48 м</t>
        </is>
      </c>
      <c r="C17" s="4" t="inlineStr">
        <is>
          <t>ТР8-48</t>
        </is>
      </c>
      <c r="D17" s="5" t="n">
        <v>13900</v>
      </c>
      <c r="E17" s="4" t="inlineStr">
        <is>
          <t>много</t>
        </is>
      </c>
      <c r="F17" s="4" t="inlineStr">
        <is>
          <t>Термопластик</t>
        </is>
      </c>
    </row>
  </sheetData>
  <autoFilter ref="A4:F17"/>
  <mergeCells count="2">
    <mergeCell ref="A2:F2"/>
    <mergeCell ref="A1:F1"/>
  </mergeCells>
  <pageMargins left="0.75" right="0.75" top="1" bottom="1" header="0.5" footer="0.5"/>
  <pageSetup orientation="landscape" fitToHeight="1" fitToWidth="1"/>
  <headerFooter>
    <oddHeader>&amp;LГБО · позиции без вашей цены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20" customWidth="1" min="3" max="3"/>
    <col width="28" customWidth="1" min="4" max="4"/>
    <col width="24" customWidth="1" min="5" max="5"/>
    <col width="52" customWidth="1" min="6" max="6"/>
  </cols>
  <sheetData>
    <row r="1">
      <c r="A1" s="1" t="inlineStr">
        <is>
          <t>Позиции, цена которых у нас уже есть</t>
        </is>
      </c>
    </row>
    <row r="2" ht="48" customHeight="1">
      <c r="A2" s="2" t="inlineStr">
        <is>
          <t>Просим подтвердить, что эти нетто ещё действуют, и написать, какая скидка возможна по дилерской схеме. Количество — черновик первого заказа на один куб, не заявка. BLASTER и FLY в инвойсе есть, в этот куб не берём.</t>
        </is>
      </c>
    </row>
    <row r="4">
      <c r="A4" s="3" t="inlineStr">
        <is>
          <t>Название</t>
        </is>
      </c>
      <c r="B4" s="3" t="inlineStr">
        <is>
          <t>Артикул</t>
        </is>
      </c>
      <c r="C4" s="3" t="inlineStr">
        <is>
          <t>Цена в инвойсе, €</t>
        </is>
      </c>
      <c r="D4" s="3" t="inlineStr">
        <is>
          <t>Смотрим в первый заказ, шт</t>
        </is>
      </c>
      <c r="E4" s="3" t="inlineStr">
        <is>
          <t>Сумма по инвойсу, €</t>
        </is>
      </c>
      <c r="F4" s="3" t="inlineStr">
        <is>
          <t>Комментарий</t>
        </is>
      </c>
    </row>
    <row r="5">
      <c r="A5" s="4" t="inlineStr">
        <is>
          <t>AT13 XP</t>
        </is>
      </c>
      <c r="B5" s="4" t="inlineStr">
        <is>
          <t>RGDG3990</t>
        </is>
      </c>
      <c r="C5" s="6" t="n">
        <v>46</v>
      </c>
      <c r="D5" s="7" t="n">
        <v>20</v>
      </c>
      <c r="E5" s="8">
        <f>C5*D5</f>
        <v/>
      </c>
      <c r="F5" s="4" t="inlineStr">
        <is>
          <t>В первый куб, около 20 шт</t>
        </is>
      </c>
    </row>
    <row r="6">
      <c r="A6" s="4" t="inlineStr">
        <is>
          <t>AT09 Nordic XP</t>
        </is>
      </c>
      <c r="B6" s="4" t="inlineStr">
        <is>
          <t>RGDG3895</t>
        </is>
      </c>
      <c r="C6" s="6" t="n">
        <v>34</v>
      </c>
      <c r="D6" s="7" t="n">
        <v>20</v>
      </c>
      <c r="E6" s="8">
        <f>C6*D6</f>
        <v/>
      </c>
      <c r="F6" s="4" t="inlineStr">
        <is>
          <t>В первый куб, около 20 шт</t>
        </is>
      </c>
    </row>
    <row r="7">
      <c r="A7" s="4" t="inlineStr">
        <is>
          <t>AT09 Nordic</t>
        </is>
      </c>
      <c r="B7" s="4" t="inlineStr">
        <is>
          <t>RGDG3890</t>
        </is>
      </c>
      <c r="C7" s="6" t="n">
        <v>26</v>
      </c>
      <c r="D7" s="7" t="n">
        <v>20</v>
      </c>
      <c r="E7" s="8">
        <f>C7*D7</f>
        <v/>
      </c>
      <c r="F7" s="4" t="inlineStr">
        <is>
          <t>В первый куб, около 20 шт</t>
        </is>
      </c>
    </row>
    <row r="8">
      <c r="A8" s="4" t="inlineStr">
        <is>
          <t>BLASTER Y 12×2/12</t>
        </is>
      </c>
      <c r="B8" s="4" t="inlineStr">
        <is>
          <t>BLASTER Y 12x2/12</t>
        </is>
      </c>
      <c r="C8" s="6" t="n">
        <v>4.5</v>
      </c>
      <c r="D8" s="7" t="n">
        <v>400</v>
      </c>
      <c r="E8" s="8">
        <f>C8*D8</f>
        <v/>
      </c>
      <c r="F8" s="4" t="inlineStr">
        <is>
          <t>Основной фильтр в кубе, около 400 шт</t>
        </is>
      </c>
    </row>
    <row r="9">
      <c r="A9" s="4" t="inlineStr">
        <is>
          <t>BLASTER 12×12</t>
        </is>
      </c>
      <c r="B9" s="4" t="inlineStr">
        <is>
          <t>BLASTER 12х12</t>
        </is>
      </c>
      <c r="C9" s="6" t="n">
        <v>3.5</v>
      </c>
      <c r="D9" s="7" t="n">
        <v>0</v>
      </c>
      <c r="E9" s="8">
        <f>C9*D9</f>
        <v/>
      </c>
      <c r="F9" s="4" t="inlineStr">
        <is>
          <t>В инвойсе есть. В этот куб не берём</t>
        </is>
      </c>
    </row>
    <row r="10">
      <c r="A10" s="4" t="inlineStr">
        <is>
          <t>FLS 12×12</t>
        </is>
      </c>
      <c r="B10" s="4" t="inlineStr">
        <is>
          <t>FL01S 12/12</t>
        </is>
      </c>
      <c r="C10" s="6" t="n">
        <v>0.7</v>
      </c>
      <c r="D10" s="7" t="n">
        <v>250</v>
      </c>
      <c r="E10" s="8">
        <f>C10*D10</f>
        <v/>
      </c>
      <c r="F10" s="4" t="inlineStr">
        <is>
          <t>Ходовой расходник, около 250 шт</t>
        </is>
      </c>
    </row>
    <row r="11">
      <c r="A11" s="4" t="inlineStr">
        <is>
          <t>FLY 12 / 2×12</t>
        </is>
      </c>
      <c r="B11" s="4" t="inlineStr">
        <is>
          <t>FL01Y 12/12</t>
        </is>
      </c>
      <c r="C11" s="6" t="n">
        <v>2</v>
      </c>
      <c r="D11" s="7" t="n">
        <v>0</v>
      </c>
      <c r="E11" s="8">
        <f>C11*D11</f>
        <v/>
      </c>
      <c r="F11" s="4" t="inlineStr">
        <is>
          <t>В инвойсе есть. В этот куб не берём</t>
        </is>
      </c>
    </row>
    <row r="12">
      <c r="A12" s="9" t="inlineStr">
        <is>
          <t>Итого в черновике</t>
        </is>
      </c>
      <c r="D12" s="10">
        <f>SUM(D5:D11)</f>
        <v/>
      </c>
      <c r="E12" s="11">
        <f>SUM(E5:E11)</f>
        <v/>
      </c>
    </row>
  </sheetData>
  <mergeCells count="2">
    <mergeCell ref="A2:F2"/>
    <mergeCell ref="A1:F1"/>
  </mergeCells>
  <pageMargins left="0.75" right="0.75" top="1" bottom="1" header="0.5" footer="0.5"/>
  <pageSetup orientation="landscape" fitToHeight="1" fitToWidth="1"/>
  <headerFooter>
    <oddHeader>&amp;LГБО · черновик первого заказа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2026-10-06T16:24:17Z</dcterms:created>
  <dcterms:modified xsi:type="dcterms:W3CDTF">2026-10-06T16:35:34Z</dcterms:modified>
</cp:coreProperties>
</file>