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IGI\Faktury\Clients\AA Katerina R\Polska - AutoChill\"/>
    </mc:Choice>
  </mc:AlternateContent>
  <xr:revisionPtr revIDLastSave="0" documentId="13_ncr:1_{F079B210-85B2-43BC-A9CA-4E377E5E10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ет в инвойсе" sheetId="1" r:id="rId1"/>
    <sheet name="Составы в евро" sheetId="2" r:id="rId2"/>
  </sheets>
  <definedNames>
    <definedName name="_xlnm._FilterDatabase" localSheetId="0" hidden="1">'Нет в инвойсе'!$A$4:$D$17</definedName>
    <definedName name="_xlnm.Print_Titles" localSheetId="0">'Нет в инвойсе'!$1:$4</definedName>
    <definedName name="_xlnm.Print_Titles" localSheetId="1">'Составы в евро'!$1:$4</definedName>
  </definedNames>
  <calcPr calcId="181029"/>
</workbook>
</file>

<file path=xl/calcChain.xml><?xml version="1.0" encoding="utf-8"?>
<calcChain xmlns="http://schemas.openxmlformats.org/spreadsheetml/2006/main">
  <c r="F10" i="2" l="1"/>
  <c r="F9" i="2"/>
  <c r="F8" i="2"/>
  <c r="F7" i="2"/>
  <c r="F6" i="2"/>
  <c r="F5" i="2"/>
</calcChain>
</file>

<file path=xl/sharedStrings.xml><?xml version="1.0" encoding="utf-8"?>
<sst xmlns="http://schemas.openxmlformats.org/spreadsheetml/2006/main" count="112" uniqueCount="69">
  <si>
    <t>Позиции, по которым нужна цена</t>
  </si>
  <si>
    <t>Кол-во — ориентир на первый пробный заказ (~5–6 тыс. € по товару). Точный состав по этим позициям — после ваших нетто. Можно прислать весь свой перечень.</t>
  </si>
  <si>
    <t>Группа</t>
  </si>
  <si>
    <t>Название</t>
  </si>
  <si>
    <t>Артикул</t>
  </si>
  <si>
    <t>Что хотим увидеть в прайсе</t>
  </si>
  <si>
    <t>Кол-во, шт (ориентир 1-й заказ)</t>
  </si>
  <si>
    <t>Электроника</t>
  </si>
  <si>
    <t>MP32 PT-MAP, 4 цилиндра</t>
  </si>
  <si>
    <t>616000573</t>
  </si>
  <si>
    <t>нетто, наличие, срок</t>
  </si>
  <si>
    <t>MP48, 4 цилиндра</t>
  </si>
  <si>
    <t>616000087</t>
  </si>
  <si>
    <t>MP48 OBD, 4 цилиндра</t>
  </si>
  <si>
    <t>616000089</t>
  </si>
  <si>
    <t>Maxi-2 TITAN, 4 цилиндра</t>
  </si>
  <si>
    <t>WEG-AMD024409999-000</t>
  </si>
  <si>
    <t>iQ, 4 цилиндра</t>
  </si>
  <si>
    <t>WEG-AMD028409999-300</t>
  </si>
  <si>
    <t>iQ 3D-6 цилиндров</t>
  </si>
  <si>
    <t>WEG-AMD030609999-300</t>
  </si>
  <si>
    <t>iQ 3D-8 цилиндров</t>
  </si>
  <si>
    <t>WEG-AMD030809999-300</t>
  </si>
  <si>
    <t>Мультиклапан</t>
  </si>
  <si>
    <t>AT02 Sprint A 315-30°</t>
  </si>
  <si>
    <t>MVDG0205.1</t>
  </si>
  <si>
    <t>Sprint + ВЗУ A 220/225-30°</t>
  </si>
  <si>
    <t>MVDG0012</t>
  </si>
  <si>
    <t>Рейка</t>
  </si>
  <si>
    <t>AEB полимер, 4 цил., 1,9 Ом</t>
  </si>
  <si>
    <t>620500170</t>
  </si>
  <si>
    <t>Тип 33, 4 цил., 2 Ом BFC</t>
  </si>
  <si>
    <t>33.EVG.13</t>
  </si>
  <si>
    <t>Трубка</t>
  </si>
  <si>
    <t>Трубка 6×1 мм, бухта 48 м</t>
  </si>
  <si>
    <t>TP6-48</t>
  </si>
  <si>
    <t>Трубка 8×1 мм, бухта 48 м</t>
  </si>
  <si>
    <t>ТР8-48</t>
  </si>
  <si>
    <t>Два варианта первого пробного заказа. На выбор, не вместе. Ориентир ~5–6 тыс. € по товару.</t>
  </si>
  <si>
    <t>Кол-ва заполнены. Нужна цена нетто EUR или PLN, наличие, срок и ваши условия на такой объём.</t>
  </si>
  <si>
    <t>Состав</t>
  </si>
  <si>
    <t>Цена в инвойсе, €</t>
  </si>
  <si>
    <t>Штук</t>
  </si>
  <si>
    <t>Сумма, €</t>
  </si>
  <si>
    <t>Первый</t>
  </si>
  <si>
    <t>AT13 XP</t>
  </si>
  <si>
    <t>RGDG3990</t>
  </si>
  <si>
    <t>Второй, комплект</t>
  </si>
  <si>
    <t>BLASTER Y 12×2/12</t>
  </si>
  <si>
    <t>BLASTER Y 12x2/12</t>
  </si>
  <si>
    <t>FLS 12×12</t>
  </si>
  <si>
    <t>FL01S 12/12</t>
  </si>
  <si>
    <t>AT09 Nordic</t>
  </si>
  <si>
    <t>RGDG3890</t>
  </si>
  <si>
    <t>AT09 Nordic XP</t>
  </si>
  <si>
    <t>RGDG3895</t>
  </si>
  <si>
    <t>нет в наличии</t>
  </si>
  <si>
    <t>Цена нетто , евро</t>
  </si>
  <si>
    <t>в наличии</t>
  </si>
  <si>
    <t>мультиклапан не включает в себя ВЗУ</t>
  </si>
  <si>
    <t>нет в наличии, под заказ, ВЗУ 3300 или 3311</t>
  </si>
  <si>
    <t>ограниченный запас, новая цена 7 евро</t>
  </si>
  <si>
    <t>ограниченный запас, новая цена 0,8 евро</t>
  </si>
  <si>
    <t>ограниченный запас, новая цена 27 евро</t>
  </si>
  <si>
    <t>ограниченный запас, новая цена 35 евро</t>
  </si>
  <si>
    <t>ограниченный запас, новая цена 47 евро</t>
  </si>
  <si>
    <t>0,95 euro /m</t>
  </si>
  <si>
    <t>1,15 euro/m</t>
  </si>
  <si>
    <t>бухты 50м - 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</si>
</sst>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#\ ##0.00"/>
    <numFmt numFmtId="166" formatCode="_-[$€-2]\ * #,##0.00_-;\-[$€-2]\ * #,##0.00_-;_-[$€-2]\ 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166" fontId="4" fillId="0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tabSelected="1" workbookViewId="0">
      <pane ySplit="4" topLeftCell="A5" activePane="bottomLeft" state="frozen"/>
      <selection pane="bottomLeft" activeCell="A15" sqref="A15:XFD15"/>
    </sheetView>
  </sheetViews>
  <sheetFormatPr defaultRowHeight="15" x14ac:dyDescent="0.25"/>
  <cols>
    <col min="1" max="1" width="20.7109375" style="6" customWidth="1"/>
    <col min="2" max="2" width="32" style="6" customWidth="1"/>
    <col min="3" max="3" width="24" style="6" customWidth="1"/>
    <col min="4" max="4" width="22" style="6" customWidth="1"/>
    <col min="5" max="5" width="29.85546875" style="6" customWidth="1"/>
    <col min="6" max="6" width="39.28515625" style="7" customWidth="1"/>
    <col min="7" max="7" width="41.28515625" style="8" bestFit="1" customWidth="1"/>
    <col min="8" max="8" width="36" style="6" bestFit="1" customWidth="1"/>
    <col min="9" max="16384" width="9.140625" style="6"/>
  </cols>
  <sheetData>
    <row r="1" spans="1:8" ht="18.75" x14ac:dyDescent="0.25">
      <c r="A1" s="4" t="s">
        <v>0</v>
      </c>
      <c r="B1" s="5"/>
      <c r="C1" s="5"/>
      <c r="D1" s="5"/>
    </row>
    <row r="2" spans="1:8" x14ac:dyDescent="0.25">
      <c r="A2" s="3" t="s">
        <v>1</v>
      </c>
      <c r="B2" s="5"/>
      <c r="C2" s="5"/>
      <c r="D2" s="5"/>
    </row>
    <row r="4" spans="1:8" ht="30" x14ac:dyDescent="0.25">
      <c r="A4" s="10" t="s">
        <v>2</v>
      </c>
      <c r="B4" s="10" t="s">
        <v>3</v>
      </c>
      <c r="C4" s="10" t="s">
        <v>4</v>
      </c>
      <c r="D4" s="10" t="s">
        <v>5</v>
      </c>
      <c r="E4" s="15" t="s">
        <v>6</v>
      </c>
      <c r="F4" s="16" t="s">
        <v>57</v>
      </c>
      <c r="G4" s="17"/>
      <c r="H4" s="18"/>
    </row>
    <row r="5" spans="1:8" x14ac:dyDescent="0.25">
      <c r="A5" s="11" t="s">
        <v>7</v>
      </c>
      <c r="B5" s="11" t="s">
        <v>8</v>
      </c>
      <c r="C5" s="11" t="s">
        <v>9</v>
      </c>
      <c r="D5" s="11" t="s">
        <v>10</v>
      </c>
      <c r="E5" s="18">
        <v>25</v>
      </c>
      <c r="F5" s="16">
        <v>57</v>
      </c>
      <c r="G5" s="19" t="s">
        <v>58</v>
      </c>
      <c r="H5" s="18"/>
    </row>
    <row r="6" spans="1:8" x14ac:dyDescent="0.25">
      <c r="A6" s="11" t="s">
        <v>7</v>
      </c>
      <c r="B6" s="11" t="s">
        <v>11</v>
      </c>
      <c r="C6" s="11" t="s">
        <v>12</v>
      </c>
      <c r="D6" s="11" t="s">
        <v>10</v>
      </c>
      <c r="E6" s="18">
        <v>25</v>
      </c>
      <c r="F6" s="16">
        <v>66</v>
      </c>
      <c r="G6" s="19" t="s">
        <v>58</v>
      </c>
      <c r="H6" s="18"/>
    </row>
    <row r="7" spans="1:8" x14ac:dyDescent="0.25">
      <c r="A7" s="11" t="s">
        <v>7</v>
      </c>
      <c r="B7" s="11" t="s">
        <v>13</v>
      </c>
      <c r="C7" s="11" t="s">
        <v>14</v>
      </c>
      <c r="D7" s="11" t="s">
        <v>10</v>
      </c>
      <c r="E7" s="18">
        <v>20</v>
      </c>
      <c r="F7" s="16">
        <v>76</v>
      </c>
      <c r="G7" s="19" t="s">
        <v>58</v>
      </c>
      <c r="H7" s="18"/>
    </row>
    <row r="8" spans="1:8" x14ac:dyDescent="0.25">
      <c r="A8" s="11" t="s">
        <v>7</v>
      </c>
      <c r="B8" s="11" t="s">
        <v>15</v>
      </c>
      <c r="C8" s="11" t="s">
        <v>16</v>
      </c>
      <c r="D8" s="11" t="s">
        <v>10</v>
      </c>
      <c r="E8" s="18">
        <v>10</v>
      </c>
      <c r="F8" s="20" t="s">
        <v>56</v>
      </c>
      <c r="G8" s="20" t="s">
        <v>56</v>
      </c>
      <c r="H8" s="18"/>
    </row>
    <row r="9" spans="1:8" x14ac:dyDescent="0.25">
      <c r="A9" s="11" t="s">
        <v>7</v>
      </c>
      <c r="B9" s="11" t="s">
        <v>17</v>
      </c>
      <c r="C9" s="11" t="s">
        <v>18</v>
      </c>
      <c r="D9" s="11" t="s">
        <v>10</v>
      </c>
      <c r="E9" s="18">
        <v>10</v>
      </c>
      <c r="F9" s="20" t="s">
        <v>56</v>
      </c>
      <c r="G9" s="20" t="s">
        <v>56</v>
      </c>
      <c r="H9" s="18"/>
    </row>
    <row r="10" spans="1:8" x14ac:dyDescent="0.25">
      <c r="A10" s="11" t="s">
        <v>7</v>
      </c>
      <c r="B10" s="11" t="s">
        <v>19</v>
      </c>
      <c r="C10" s="11" t="s">
        <v>20</v>
      </c>
      <c r="D10" s="11" t="s">
        <v>10</v>
      </c>
      <c r="E10" s="18">
        <v>5</v>
      </c>
      <c r="F10" s="20" t="s">
        <v>56</v>
      </c>
      <c r="G10" s="20" t="s">
        <v>56</v>
      </c>
      <c r="H10" s="18"/>
    </row>
    <row r="11" spans="1:8" x14ac:dyDescent="0.25">
      <c r="A11" s="11" t="s">
        <v>7</v>
      </c>
      <c r="B11" s="11" t="s">
        <v>21</v>
      </c>
      <c r="C11" s="11" t="s">
        <v>22</v>
      </c>
      <c r="D11" s="11" t="s">
        <v>10</v>
      </c>
      <c r="E11" s="18">
        <v>5</v>
      </c>
      <c r="F11" s="20" t="s">
        <v>56</v>
      </c>
      <c r="G11" s="20" t="s">
        <v>56</v>
      </c>
      <c r="H11" s="18"/>
    </row>
    <row r="12" spans="1:8" ht="30" x14ac:dyDescent="0.25">
      <c r="A12" s="11" t="s">
        <v>23</v>
      </c>
      <c r="B12" s="11" t="s">
        <v>24</v>
      </c>
      <c r="C12" s="11" t="s">
        <v>25</v>
      </c>
      <c r="D12" s="11" t="s">
        <v>10</v>
      </c>
      <c r="E12" s="18">
        <v>20</v>
      </c>
      <c r="F12" s="16">
        <v>22</v>
      </c>
      <c r="G12" s="19" t="s">
        <v>58</v>
      </c>
      <c r="H12" s="18" t="s">
        <v>59</v>
      </c>
    </row>
    <row r="13" spans="1:8" x14ac:dyDescent="0.25">
      <c r="A13" s="11" t="s">
        <v>23</v>
      </c>
      <c r="B13" s="11" t="s">
        <v>26</v>
      </c>
      <c r="C13" s="11" t="s">
        <v>27</v>
      </c>
      <c r="D13" s="11" t="s">
        <v>10</v>
      </c>
      <c r="E13" s="18">
        <v>15</v>
      </c>
      <c r="F13" s="16">
        <v>19</v>
      </c>
      <c r="G13" s="18" t="s">
        <v>60</v>
      </c>
      <c r="H13" s="18"/>
    </row>
    <row r="14" spans="1:8" x14ac:dyDescent="0.25">
      <c r="A14" s="11" t="s">
        <v>28</v>
      </c>
      <c r="B14" s="11" t="s">
        <v>29</v>
      </c>
      <c r="C14" s="11" t="s">
        <v>30</v>
      </c>
      <c r="D14" s="11" t="s">
        <v>10</v>
      </c>
      <c r="E14" s="18">
        <v>15</v>
      </c>
      <c r="F14" s="16">
        <v>35</v>
      </c>
      <c r="G14" s="19" t="s">
        <v>58</v>
      </c>
      <c r="H14" s="18"/>
    </row>
    <row r="15" spans="1:8" x14ac:dyDescent="0.25">
      <c r="A15" s="11" t="s">
        <v>28</v>
      </c>
      <c r="B15" s="11" t="s">
        <v>31</v>
      </c>
      <c r="C15" s="11" t="s">
        <v>32</v>
      </c>
      <c r="D15" s="11" t="s">
        <v>10</v>
      </c>
      <c r="E15" s="18">
        <v>10</v>
      </c>
      <c r="F15" s="16">
        <v>20</v>
      </c>
      <c r="G15" s="19" t="s">
        <v>58</v>
      </c>
      <c r="H15" s="18"/>
    </row>
    <row r="16" spans="1:8" x14ac:dyDescent="0.25">
      <c r="A16" s="11" t="s">
        <v>33</v>
      </c>
      <c r="B16" s="11" t="s">
        <v>34</v>
      </c>
      <c r="C16" s="11" t="s">
        <v>35</v>
      </c>
      <c r="D16" s="11" t="s">
        <v>10</v>
      </c>
      <c r="E16" s="18">
        <v>4</v>
      </c>
      <c r="F16" s="16" t="s">
        <v>66</v>
      </c>
      <c r="G16" s="19" t="s">
        <v>68</v>
      </c>
      <c r="H16" s="18"/>
    </row>
    <row r="17" spans="1:8" x14ac:dyDescent="0.25">
      <c r="A17" s="11" t="s">
        <v>33</v>
      </c>
      <c r="B17" s="11" t="s">
        <v>36</v>
      </c>
      <c r="C17" s="11" t="s">
        <v>37</v>
      </c>
      <c r="D17" s="11" t="s">
        <v>10</v>
      </c>
      <c r="E17" s="18">
        <v>3</v>
      </c>
      <c r="F17" s="16" t="s">
        <v>67</v>
      </c>
      <c r="G17" s="19" t="s">
        <v>68</v>
      </c>
      <c r="H17" s="18"/>
    </row>
  </sheetData>
  <autoFilter ref="A4:D17" xr:uid="{00000000-0009-0000-0000-000000000000}"/>
  <mergeCells count="2">
    <mergeCell ref="A1:D1"/>
    <mergeCell ref="A2:D2"/>
  </mergeCells>
  <pageMargins left="0.75" right="0.75" top="1" bottom="1" header="0.5" footer="0.5"/>
  <pageSetup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0"/>
  <sheetViews>
    <sheetView workbookViewId="0">
      <pane ySplit="4" topLeftCell="A5" activePane="bottomLeft" state="frozen"/>
      <selection pane="bottomLeft" activeCell="C13" sqref="C13"/>
    </sheetView>
  </sheetViews>
  <sheetFormatPr defaultRowHeight="15" x14ac:dyDescent="0.25"/>
  <cols>
    <col min="1" max="1" width="22" customWidth="1"/>
    <col min="2" max="2" width="28" customWidth="1"/>
    <col min="3" max="3" width="24" customWidth="1"/>
    <col min="4" max="4" width="22" customWidth="1"/>
    <col min="5" max="5" width="12" customWidth="1"/>
    <col min="6" max="6" width="14" customWidth="1"/>
    <col min="7" max="7" width="38" bestFit="1" customWidth="1"/>
  </cols>
  <sheetData>
    <row r="1" spans="1:7" ht="18.75" x14ac:dyDescent="0.3">
      <c r="A1" s="1" t="s">
        <v>38</v>
      </c>
      <c r="B1" s="2"/>
      <c r="C1" s="2"/>
      <c r="D1" s="2"/>
      <c r="E1" s="2"/>
      <c r="F1" s="2"/>
    </row>
    <row r="2" spans="1:7" ht="36" customHeight="1" x14ac:dyDescent="0.25">
      <c r="A2" s="3" t="s">
        <v>39</v>
      </c>
      <c r="B2" s="2"/>
      <c r="C2" s="2"/>
      <c r="D2" s="2"/>
      <c r="E2" s="2"/>
      <c r="F2" s="2"/>
    </row>
    <row r="4" spans="1:7" x14ac:dyDescent="0.25">
      <c r="A4" s="10" t="s">
        <v>40</v>
      </c>
      <c r="B4" s="10" t="s">
        <v>3</v>
      </c>
      <c r="C4" s="10" t="s">
        <v>4</v>
      </c>
      <c r="D4" s="10" t="s">
        <v>41</v>
      </c>
      <c r="E4" s="10" t="s">
        <v>42</v>
      </c>
      <c r="F4" s="10" t="s">
        <v>43</v>
      </c>
      <c r="G4" s="9"/>
    </row>
    <row r="5" spans="1:7" x14ac:dyDescent="0.25">
      <c r="A5" s="11" t="s">
        <v>44</v>
      </c>
      <c r="B5" s="11" t="s">
        <v>45</v>
      </c>
      <c r="C5" s="11" t="s">
        <v>46</v>
      </c>
      <c r="D5" s="12">
        <v>46</v>
      </c>
      <c r="E5" s="13">
        <v>130</v>
      </c>
      <c r="F5" s="14">
        <f t="shared" ref="F5:F10" si="0">D5*E5</f>
        <v>5980</v>
      </c>
      <c r="G5" s="9" t="s">
        <v>65</v>
      </c>
    </row>
    <row r="6" spans="1:7" x14ac:dyDescent="0.25">
      <c r="A6" s="11" t="s">
        <v>47</v>
      </c>
      <c r="B6" s="11" t="s">
        <v>48</v>
      </c>
      <c r="C6" s="11" t="s">
        <v>49</v>
      </c>
      <c r="D6" s="12">
        <v>4.5</v>
      </c>
      <c r="E6" s="13">
        <v>450</v>
      </c>
      <c r="F6" s="14">
        <f t="shared" si="0"/>
        <v>2025</v>
      </c>
      <c r="G6" s="9" t="s">
        <v>61</v>
      </c>
    </row>
    <row r="7" spans="1:7" x14ac:dyDescent="0.25">
      <c r="A7" s="11" t="s">
        <v>47</v>
      </c>
      <c r="B7" s="11" t="s">
        <v>50</v>
      </c>
      <c r="C7" s="11" t="s">
        <v>51</v>
      </c>
      <c r="D7" s="12">
        <v>0.7</v>
      </c>
      <c r="E7" s="13">
        <v>200</v>
      </c>
      <c r="F7" s="14">
        <f t="shared" si="0"/>
        <v>140</v>
      </c>
      <c r="G7" s="9" t="s">
        <v>62</v>
      </c>
    </row>
    <row r="8" spans="1:7" x14ac:dyDescent="0.25">
      <c r="A8" s="11" t="s">
        <v>47</v>
      </c>
      <c r="B8" s="11" t="s">
        <v>52</v>
      </c>
      <c r="C8" s="11" t="s">
        <v>53</v>
      </c>
      <c r="D8" s="12">
        <v>26</v>
      </c>
      <c r="E8" s="13">
        <v>20</v>
      </c>
      <c r="F8" s="14">
        <f t="shared" si="0"/>
        <v>520</v>
      </c>
      <c r="G8" s="9" t="s">
        <v>63</v>
      </c>
    </row>
    <row r="9" spans="1:7" x14ac:dyDescent="0.25">
      <c r="A9" s="11" t="s">
        <v>47</v>
      </c>
      <c r="B9" s="11" t="s">
        <v>54</v>
      </c>
      <c r="C9" s="11" t="s">
        <v>55</v>
      </c>
      <c r="D9" s="12">
        <v>34</v>
      </c>
      <c r="E9" s="13">
        <v>25</v>
      </c>
      <c r="F9" s="14">
        <f t="shared" si="0"/>
        <v>850</v>
      </c>
      <c r="G9" s="9" t="s">
        <v>64</v>
      </c>
    </row>
    <row r="10" spans="1:7" x14ac:dyDescent="0.25">
      <c r="A10" s="11" t="s">
        <v>47</v>
      </c>
      <c r="B10" s="11" t="s">
        <v>45</v>
      </c>
      <c r="C10" s="11" t="s">
        <v>46</v>
      </c>
      <c r="D10" s="12">
        <v>46</v>
      </c>
      <c r="E10" s="13">
        <v>40</v>
      </c>
      <c r="F10" s="14">
        <f t="shared" si="0"/>
        <v>1840</v>
      </c>
      <c r="G10" s="9" t="s">
        <v>65</v>
      </c>
    </row>
  </sheetData>
  <mergeCells count="2">
    <mergeCell ref="A2:F2"/>
    <mergeCell ref="A1:F1"/>
  </mergeCells>
  <pageMargins left="0.75" right="0.75" top="1" bottom="1" header="0.5" footer="0.5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Нет в инвойсе</vt:lpstr>
      <vt:lpstr>Составы в евро</vt:lpstr>
      <vt:lpstr>'Нет в инвойсе'!Tytuły_wydruku</vt:lpstr>
      <vt:lpstr>'Составы в евро'!Tytuły_wydruku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Katerina Rozhko</cp:lastModifiedBy>
  <cp:lastPrinted>2026-10-23T13:49:32Z</cp:lastPrinted>
  <dcterms:created xsi:type="dcterms:W3CDTF">2026-10-06T17:15:52Z</dcterms:created>
  <dcterms:modified xsi:type="dcterms:W3CDTF">2026-10-23T13:49:42Z</dcterms:modified>
</cp:coreProperties>
</file>