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 пробный" sheetId="1" state="visible" r:id="rId1"/>
    <sheet name="Деньги инвестору" sheetId="2" state="visible" r:id="rId2"/>
    <sheet name="Маржа по позиц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14" customWidth="1" min="4" max="4"/>
    <col width="12" customWidth="1" min="5" max="5"/>
    <col width="40" customWidth="1" min="6" max="6"/>
  </cols>
  <sheetData>
    <row r="1">
      <c r="A1" s="1" t="inlineStr">
        <is>
          <t>Позиция</t>
        </is>
      </c>
      <c r="B1" s="1" t="inlineStr">
        <is>
          <t>Артикул</t>
        </is>
      </c>
      <c r="C1" s="1" t="inlineStr">
        <is>
          <t>Шт</t>
        </is>
      </c>
      <c r="D1" s="1" t="inlineStr">
        <is>
          <t>Цена нетто €</t>
        </is>
      </c>
      <c r="E1" s="1" t="inlineStr">
        <is>
          <t>Сумма €</t>
        </is>
      </c>
      <c r="F1" s="1" t="inlineStr">
        <is>
          <t>Комментарий</t>
        </is>
      </c>
    </row>
    <row r="2">
      <c r="A2" t="inlineStr">
        <is>
          <t>AT13 XP</t>
        </is>
      </c>
      <c r="B2" t="inlineStr">
        <is>
          <t>RGDG3990</t>
        </is>
      </c>
      <c r="C2" t="n">
        <v>125</v>
      </c>
      <c r="D2" t="n">
        <v>46</v>
      </c>
      <c r="E2">
        <f>C2*D2</f>
        <v/>
      </c>
      <c r="F2" t="inlineStr">
        <is>
          <t>текущая 46€, до ноября</t>
        </is>
      </c>
    </row>
    <row r="3">
      <c r="A3" t="inlineStr">
        <is>
          <t>BLASTER Y 12×2/12</t>
        </is>
      </c>
      <c r="B3" t="inlineStr">
        <is>
          <t>BLASTER Y 12x2/12</t>
        </is>
      </c>
      <c r="C3" t="n">
        <v>50</v>
      </c>
      <c r="D3" t="n">
        <v>4.5</v>
      </c>
      <c r="E3">
        <f>C3*D3</f>
        <v/>
      </c>
      <c r="F3" t="inlineStr">
        <is>
          <t>текущая 4.50€ — важно до ноября</t>
        </is>
      </c>
    </row>
    <row r="4">
      <c r="A4" t="inlineStr">
        <is>
          <t>Тип 33, 4 цил., 2 Ом BFC</t>
        </is>
      </c>
      <c r="B4" t="inlineStr">
        <is>
          <t>33.EVG.13</t>
        </is>
      </c>
      <c r="C4" t="n">
        <v>20</v>
      </c>
      <c r="D4" t="n">
        <v>20</v>
      </c>
      <c r="E4">
        <f>C4*D4</f>
        <v/>
      </c>
      <c r="F4" t="inlineStr">
        <is>
          <t>из вашего прайса 19.10</t>
        </is>
      </c>
    </row>
    <row r="5">
      <c r="A5" t="inlineStr">
        <is>
          <t>FLS 12×12</t>
        </is>
      </c>
      <c r="B5" t="inlineStr">
        <is>
          <t>FL01S 12/12</t>
        </is>
      </c>
      <c r="C5" t="n">
        <v>100</v>
      </c>
      <c r="D5" t="n">
        <v>0.7</v>
      </c>
      <c r="E5">
        <f>C5*D5</f>
        <v/>
      </c>
      <c r="F5" t="inlineStr">
        <is>
          <t>текущая 0.70€, до ноября</t>
        </is>
      </c>
    </row>
    <row r="7">
      <c r="A7" t="inlineStr">
        <is>
          <t>Итого товар €</t>
        </is>
      </c>
      <c r="B7" t="inlineStr"/>
      <c r="C7" t="inlineStr"/>
      <c r="D7" t="inlineStr"/>
      <c r="E7">
        <f>SUM(E2:E5)</f>
        <v/>
      </c>
      <c r="F7" t="inlineStr"/>
    </row>
    <row r="8">
      <c r="A8" t="inlineStr">
        <is>
          <t>Первый пробный заказ. Просим подтвердить наличие и зафиксировать цены из письма 23.10 (до ноябрьского повышения).</t>
        </is>
      </c>
    </row>
  </sheetData>
  <mergeCells count="1"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t="inlineStr">
        <is>
          <t>GBO первый заказ · 26.10.2026</t>
        </is>
      </c>
    </row>
    <row r="2">
      <c r="A2" t="inlineStr">
        <is>
          <t>Курс ЦБ</t>
        </is>
      </c>
      <c r="B2" t="n">
        <v>90.24290000000001</v>
      </c>
      <c r="C2" t="inlineStr">
        <is>
          <t>₽/€</t>
        </is>
      </c>
    </row>
    <row r="3">
      <c r="A3" t="inlineStr">
        <is>
          <t>Скидка установщику от полки Digitronic</t>
        </is>
      </c>
      <c r="B3" t="inlineStr">
        <is>
          <t>20%</t>
        </is>
      </c>
    </row>
    <row r="5">
      <c r="A5" t="inlineStr">
        <is>
          <t>Статья</t>
        </is>
      </c>
      <c r="B5" t="inlineStr">
        <is>
          <t>₽</t>
        </is>
      </c>
    </row>
    <row r="6">
      <c r="A6" t="inlineStr">
        <is>
          <t>Товар 6 445 €</t>
        </is>
      </c>
      <c r="B6" t="n">
        <v>581615</v>
      </c>
    </row>
    <row r="7">
      <c r="A7" s="1" t="inlineStr">
        <is>
          <t>Логистика</t>
        </is>
      </c>
      <c r="B7" t="n">
        <v>112900</v>
      </c>
    </row>
    <row r="8">
      <c r="A8" t="inlineStr">
        <is>
          <t>Выкуп 750 €</t>
        </is>
      </c>
      <c r="B8" t="n">
        <v>67682</v>
      </c>
    </row>
    <row r="9">
      <c r="A9" t="inlineStr">
        <is>
          <t>Пошлина 5%</t>
        </is>
      </c>
      <c r="B9" t="n">
        <v>34750</v>
      </c>
    </row>
    <row r="10">
      <c r="A10" t="inlineStr">
        <is>
          <t>НДС ввоз 22%</t>
        </is>
      </c>
      <c r="B10" t="n">
        <v>160500</v>
      </c>
    </row>
    <row r="11">
      <c r="A11" s="1" t="inlineStr">
        <is>
          <t>Брокер + ФТС + Казань</t>
        </is>
      </c>
      <c r="B11" t="n">
        <v>41924</v>
      </c>
    </row>
    <row r="12">
      <c r="A12" s="1" t="inlineStr">
        <is>
          <t>ВЛОЖЕНО (чек)</t>
        </is>
      </c>
      <c r="B12" t="n">
        <v>999735</v>
      </c>
    </row>
    <row r="13">
      <c r="A13" t="inlineStr">
        <is>
          <t>Выручка (продажа −20%)</t>
        </is>
      </c>
      <c r="B13" t="n">
        <v>1439765</v>
      </c>
    </row>
    <row r="14">
      <c r="A14" t="inlineStr">
        <is>
          <t>ЗАРАБОТАНО</t>
        </is>
      </c>
      <c r="B14" t="n">
        <v>439065</v>
      </c>
    </row>
    <row r="15">
      <c r="A15" t="inlineStr">
        <is>
          <t>К вложению</t>
        </is>
      </c>
      <c r="B15" t="inlineStr">
        <is>
          <t>≈ +44%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t="inlineStr">
        <is>
          <t>Позиция</t>
        </is>
      </c>
      <c r="B1" t="inlineStr">
        <is>
          <t>Шт</t>
        </is>
      </c>
      <c r="C1" t="inlineStr">
        <is>
          <t>Земля ₽</t>
        </is>
      </c>
      <c r="D1" t="inlineStr">
        <is>
          <t>Продажа −20%</t>
        </is>
      </c>
      <c r="E1" t="inlineStr">
        <is>
          <t>Маржа %</t>
        </is>
      </c>
      <c r="F1" t="inlineStr">
        <is>
          <t>Прибыль ₽</t>
        </is>
      </c>
    </row>
    <row r="2">
      <c r="A2" t="inlineStr">
        <is>
          <t>AT13 XP</t>
        </is>
      </c>
      <c r="B2" t="n">
        <v>125</v>
      </c>
      <c r="C2" t="n">
        <v>7135</v>
      </c>
      <c r="D2" t="n">
        <v>10240</v>
      </c>
      <c r="E2" t="n">
        <v>43.5</v>
      </c>
      <c r="F2" t="n">
        <v>388072</v>
      </c>
    </row>
    <row r="3">
      <c r="A3" t="inlineStr">
        <is>
          <t>BLASTER Y</t>
        </is>
      </c>
      <c r="B3" t="n">
        <v>50</v>
      </c>
      <c r="C3" t="n">
        <v>698</v>
      </c>
      <c r="D3" t="n">
        <v>1000</v>
      </c>
      <c r="E3" t="n">
        <v>43.3</v>
      </c>
      <c r="F3" t="n">
        <v>15098</v>
      </c>
    </row>
    <row r="4">
      <c r="A4" t="inlineStr">
        <is>
          <t>Тип 33</t>
        </is>
      </c>
      <c r="B4" t="n">
        <v>20</v>
      </c>
      <c r="C4" t="n">
        <v>3102</v>
      </c>
      <c r="D4" t="n">
        <v>4440</v>
      </c>
      <c r="E4" t="n">
        <v>43.1</v>
      </c>
      <c r="F4" t="n">
        <v>26753</v>
      </c>
    </row>
    <row r="5">
      <c r="A5" t="inlineStr">
        <is>
          <t>FLS</t>
        </is>
      </c>
      <c r="B5" t="n">
        <v>100</v>
      </c>
      <c r="C5" t="n">
        <v>109</v>
      </c>
      <c r="D5" t="n">
        <v>200</v>
      </c>
      <c r="E5" t="n">
        <v>84.2</v>
      </c>
      <c r="F5" t="n">
        <v>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2026-10-26T10:19:13Z</dcterms:created>
  <dcterms:modified xsi:type="dcterms:W3CDTF">2026-10-26T10:19:13Z</dcterms:modified>
</cp:coreProperties>
</file>